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ec50956d6946a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OM" sheetId="1" r:id="Ra492aabd637d4391"/>
    <x:sheet xmlns:r="http://schemas.openxmlformats.org/officeDocument/2006/relationships" name="Cut List" sheetId="2" r:id="Re1e7676008364831"/>
    <x:sheet xmlns:r="http://schemas.openxmlformats.org/officeDocument/2006/relationships" name="Scene Placements" sheetId="3" r:id="Rc7fc75ac31fb4811"/>
    <x:sheet xmlns:r="http://schemas.openxmlformats.org/officeDocument/2006/relationships" name="Overview" sheetId="4" r:id="R2286ff5e2f414923"/>
    <x:sheet xmlns:r="http://schemas.openxmlformats.org/officeDocument/2006/relationships" name="First Article Acceptance" sheetId="5" r:id="Re7d6276443d94be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9">
    <x:font>
      <x:sz val="11"/>
      <x:name val="Carlito"/>
    </x:font>
    <x:font>
      <x:b/>
      <x:sz val="16"/>
      <x:color rgb="FFFFFFFF"/>
      <x:name val="Carlito"/>
    </x:font>
    <x:font>
      <x:b/>
      <x:sz val="11"/>
      <x:color rgb="FF7A3100"/>
      <x:name val="Carlito"/>
    </x:font>
    <x:font>
      <x:b/>
      <x:sz val="11"/>
      <x:name val="Carlito"/>
    </x:font>
    <x:font>
      <x:b/>
      <x:sz val="11"/>
      <x:color rgb="FF375623"/>
      <x:name val="Carlito"/>
    </x:font>
    <x:font>
      <x:b/>
      <x:sz val="11"/>
      <x:color rgb="FF7F6000"/>
      <x:name val="Carlito"/>
    </x:font>
    <x:font>
      <x:i/>
      <x:sz val="11"/>
      <x:color rgb="FF444444"/>
      <x:name val="Carlito"/>
    </x:font>
    <x:font>
      <x:b/>
      <x:sz val="11"/>
      <x:color rgb="FFFFFFFF"/>
      <x:name val="Carlito"/>
    </x:font>
    <x:font>
      <x:b/>
      <x:sz val="15"/>
      <x:color rgb="FFFFFFFF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9C3D10"/>
      </x:patternFill>
    </x:fill>
    <x:fill>
      <x:patternFill patternType="solid">
        <x:fgColor rgb="FFFCE4D6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EDEDED"/>
      </x:patternFill>
    </x:fill>
    <x:fill>
      <x:patternFill patternType="solid">
        <x:fgColor rgb="FF1F4E78"/>
      </x:patternFill>
    </x:fill>
  </x:fills>
  <x:borders count="20">
    <x:border/>
    <x:border/>
    <x:border>
      <x:left style="thin">
        <x:color rgb="FFB7B7B7"/>
      </x:left>
      <x:top style="thin">
        <x:color rgb="FFB7B7B7"/>
      </x:top>
    </x:border>
    <x:border>
      <x:right style="thin">
        <x:color rgb="FFB7B7B7"/>
      </x:right>
      <x:top style="thin">
        <x:color rgb="FFB7B7B7"/>
      </x:top>
    </x:border>
    <x:border>
      <x:left style="thin">
        <x:color rgb="FFB7B7B7"/>
      </x:left>
    </x:border>
    <x:border>
      <x:right style="thin">
        <x:color rgb="FFB7B7B7"/>
      </x:right>
    </x:border>
    <x:border>
      <x:left style="thin">
        <x:color rgb="FFB7B7B7"/>
      </x:left>
      <x:bottom style="thin">
        <x:color rgb="FFB7B7B7"/>
      </x:bottom>
    </x:border>
    <x:border>
      <x:right style="thin">
        <x:color rgb="FFB7B7B7"/>
      </x:right>
      <x:bottom style="thin">
        <x:color rgb="FFB7B7B7"/>
      </x:bottom>
    </x:border>
    <x:border>
      <x:left style="thin">
        <x:color rgb="FFB7B7B7"/>
      </x:left>
      <x:top style="thin">
        <x:color rgb="FFB7B7B7"/>
      </x:top>
    </x:border>
    <x:border>
      <x:right style="thin">
        <x:color rgb="FFB7B7B7"/>
      </x:right>
      <x:top style="thin">
        <x:color rgb="FFB7B7B7"/>
      </x:top>
    </x:border>
    <x:border>
      <x:left style="thin">
        <x:color rgb="FFB7B7B7"/>
      </x:left>
    </x:border>
    <x:border>
      <x:right style="thin">
        <x:color rgb="FFB7B7B7"/>
      </x:right>
    </x:border>
    <x:border>
      <x:left style="thin">
        <x:color rgb="FFB7B7B7"/>
      </x:left>
      <x:bottom style="thin">
        <x:color rgb="FFB7B7B7"/>
      </x:bottom>
    </x:border>
    <x:border>
      <x:right style="thin">
        <x:color rgb="FFB7B7B7"/>
      </x:right>
      <x:bottom style="thin">
        <x:color rgb="FFB7B7B7"/>
      </x:bottom>
    </x:border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  <x:bottom style="thin">
        <x:color rgb="FFA6A6A6"/>
      </x:bottom>
    </x:border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  <x:bottom style="thin">
        <x:color rgb="FFA6A6A6"/>
      </x:bottom>
    </x:border>
  </x:borders>
  <x:cellStyleXfs count="1">
    <x:xf numFmtId="0" fontId="0" fillId="0" borderId="0"/>
  </x:cellStyleXfs>
  <x:cellXfs count="1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200" fontId="4" fillId="5" borderId="0" xfId="0" applyNumberFormat="1" applyFont="1" applyFill="1" applyBorder="1"/>
    <x:xf numFmtId="200" fontId="4" fillId="5" borderId="1" xfId="0" applyNumberFormat="1" applyFont="1" applyFill="1" applyBorder="1"/>
    <x:xf numFmtId="0" fontId="0" fillId="6" borderId="0" xfId="0" applyNumberFormat="1" applyFont="1" applyFill="1" applyBorder="1"/>
    <x:xf numFmtId="0" fontId="0" fillId="6" borderId="1" xfId="0" applyNumberFormat="1" applyFont="1" applyFill="1" applyBorder="1"/>
    <x:xf numFmtId="0" fontId="5" fillId="6" borderId="0" xfId="0" applyNumberFormat="1" applyFont="1" applyFill="1" applyBorder="1"/>
    <x:xf numFmtId="0" fontId="5" fillId="6" borderId="1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1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0" fillId="7" borderId="1" xfId="0" applyNumberFormat="1" applyFont="1" applyFill="1" applyBorder="1"/>
    <x:xf numFmtId="0" fontId="6" fillId="7" borderId="0" xfId="0" applyNumberFormat="1" applyFont="1" applyFill="1" applyBorder="1"/>
    <x:xf numFmtId="0" fontId="6" fillId="7" borderId="1" xfId="0" applyNumberFormat="1" applyFont="1" applyFill="1" applyBorder="1"/>
    <x:xf numFmtId="0" fontId="6" fillId="7" borderId="0" xfId="0" applyNumberFormat="1" applyFont="1" applyFill="1" applyBorder="1" applyAlignment="1">
      <x:alignment wrapText="1"/>
    </x:xf>
    <x:xf numFmtId="0" fontId="6" fillId="7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/>
    <x:xf numFmtId="0" fontId="0" fillId="0" borderId="3" xfId="0" applyNumberFormat="1" applyFont="1" applyFill="1" applyBorder="1"/>
    <x:xf numFmtId="0" fontId="2" fillId="3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4" xfId="0" applyNumberFormat="1" applyFont="1" applyFill="1" applyBorder="1"/>
    <x:xf numFmtId="0" fontId="3" fillId="4" borderId="4" xfId="0" applyNumberFormat="1" applyFont="1" applyFill="1" applyBorder="1"/>
    <x:xf numFmtId="200" fontId="4" fillId="5" borderId="5" xfId="0" applyNumberFormat="1" applyFont="1" applyFill="1" applyBorder="1"/>
    <x:xf numFmtId="0" fontId="3" fillId="4" borderId="6" xfId="0" applyNumberFormat="1" applyFont="1" applyFill="1" applyBorder="1"/>
    <x:xf numFmtId="200" fontId="4" fillId="5" borderId="7" xfId="0" applyNumberFormat="1" applyFont="1" applyFill="1" applyBorder="1"/>
    <x:xf numFmtId="0" fontId="2" fillId="3" borderId="8" xfId="0" applyNumberFormat="1" applyFont="1" applyFill="1" applyBorder="1"/>
    <x:xf numFmtId="0" fontId="0" fillId="0" borderId="9" xfId="0" applyNumberFormat="1" applyFont="1" applyFill="1" applyBorder="1"/>
    <x:xf numFmtId="0" fontId="2" fillId="3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0" xfId="0" applyNumberFormat="1" applyFont="1" applyFill="1" applyBorder="1"/>
    <x:xf numFmtId="0" fontId="3" fillId="4" borderId="10" xfId="0" applyNumberFormat="1" applyFont="1" applyFill="1" applyBorder="1"/>
    <x:xf numFmtId="200" fontId="4" fillId="5" borderId="11" xfId="0" applyNumberFormat="1" applyFont="1" applyFill="1" applyBorder="1"/>
    <x:xf numFmtId="0" fontId="3" fillId="4" borderId="12" xfId="0" applyNumberFormat="1" applyFont="1" applyFill="1" applyBorder="1"/>
    <x:xf numFmtId="200" fontId="4" fillId="5" borderId="13" xfId="0" applyNumberFormat="1" applyFont="1" applyFill="1" applyBorder="1"/>
    <x:xf numFmtId="0" fontId="0" fillId="0" borderId="0" xfId="0" applyNumberFormat="1" applyFont="1" applyFill="1" applyBorder="1" applyAlignment="1">
      <x:alignment vertical="center"/>
    </x:xf>
    <x:xf numFmtId="0" fontId="2" fillId="3" borderId="2" xfId="0" applyNumberFormat="1" applyFont="1" applyFill="1" applyBorder="1" applyAlignment="1">
      <x:alignment vertical="center"/>
    </x:xf>
    <x:xf numFmtId="0" fontId="0" fillId="0" borderId="3" xfId="0" applyNumberFormat="1" applyFont="1" applyFill="1" applyBorder="1" applyAlignment="1">
      <x:alignment vertical="center"/>
    </x:xf>
    <x:xf numFmtId="0" fontId="2" fillId="3" borderId="4" xfId="0" applyNumberFormat="1" applyFont="1" applyFill="1" applyBorder="1" applyAlignment="1">
      <x:alignment vertical="center"/>
    </x:xf>
    <x:xf numFmtId="0" fontId="0" fillId="0" borderId="5" xfId="0" applyNumberFormat="1" applyFont="1" applyFill="1" applyBorder="1" applyAlignment="1">
      <x:alignment vertical="center"/>
    </x:xf>
    <x:xf numFmtId="0" fontId="0" fillId="0" borderId="4" xfId="0" applyNumberFormat="1" applyFont="1" applyFill="1" applyBorder="1" applyAlignment="1">
      <x:alignment vertical="center"/>
    </x:xf>
    <x:xf numFmtId="0" fontId="3" fillId="4" borderId="4" xfId="0" applyNumberFormat="1" applyFont="1" applyFill="1" applyBorder="1" applyAlignment="1">
      <x:alignment vertical="center"/>
    </x:xf>
    <x:xf numFmtId="200" fontId="4" fillId="5" borderId="5" xfId="0" applyNumberFormat="1" applyFont="1" applyFill="1" applyBorder="1" applyAlignment="1">
      <x:alignment vertical="center"/>
    </x:xf>
    <x:xf numFmtId="0" fontId="3" fillId="4" borderId="6" xfId="0" applyNumberFormat="1" applyFont="1" applyFill="1" applyBorder="1" applyAlignment="1">
      <x:alignment vertical="center"/>
    </x:xf>
    <x:xf numFmtId="200" fontId="4" fillId="5" borderId="7" xfId="0" applyNumberFormat="1" applyFont="1" applyFill="1" applyBorder="1" applyAlignment="1">
      <x:alignment vertical="center"/>
    </x:xf>
    <x:xf numFmtId="0" fontId="5" fillId="6" borderId="0" xfId="0" applyNumberFormat="1" applyFont="1" applyFill="1" applyBorder="1" applyAlignment="1">
      <x:alignment vertical="center" wrapText="1"/>
    </x:xf>
    <x:xf numFmtId="0" fontId="6" fillId="7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/>
    </x:xf>
    <x:xf numFmtId="0" fontId="2" fillId="3" borderId="8" xfId="0" applyNumberFormat="1" applyFont="1" applyFill="1" applyBorder="1" applyAlignment="1">
      <x:alignment vertical="center"/>
    </x:xf>
    <x:xf numFmtId="0" fontId="0" fillId="0" borderId="9" xfId="0" applyNumberFormat="1" applyFont="1" applyFill="1" applyBorder="1" applyAlignment="1">
      <x:alignment vertical="center"/>
    </x:xf>
    <x:xf numFmtId="0" fontId="2" fillId="3" borderId="10" xfId="0" applyNumberFormat="1" applyFont="1" applyFill="1" applyBorder="1" applyAlignment="1">
      <x:alignment vertical="center"/>
    </x:xf>
    <x:xf numFmtId="0" fontId="0" fillId="0" borderId="11" xfId="0" applyNumberFormat="1" applyFont="1" applyFill="1" applyBorder="1" applyAlignment="1">
      <x:alignment vertical="center"/>
    </x:xf>
    <x:xf numFmtId="0" fontId="0" fillId="0" borderId="10" xfId="0" applyNumberFormat="1" applyFont="1" applyFill="1" applyBorder="1" applyAlignment="1">
      <x:alignment vertical="center"/>
    </x:xf>
    <x:xf numFmtId="0" fontId="3" fillId="4" borderId="10" xfId="0" applyNumberFormat="1" applyFont="1" applyFill="1" applyBorder="1" applyAlignment="1">
      <x:alignment vertical="center"/>
    </x:xf>
    <x:xf numFmtId="200" fontId="4" fillId="5" borderId="11" xfId="0" applyNumberFormat="1" applyFont="1" applyFill="1" applyBorder="1" applyAlignment="1">
      <x:alignment vertical="center"/>
    </x:xf>
    <x:xf numFmtId="0" fontId="3" fillId="4" borderId="12" xfId="0" applyNumberFormat="1" applyFont="1" applyFill="1" applyBorder="1" applyAlignment="1">
      <x:alignment vertical="center"/>
    </x:xf>
    <x:xf numFmtId="200" fontId="4" fillId="5" borderId="13" xfId="0" applyNumberFormat="1" applyFont="1" applyFill="1" applyBorder="1" applyAlignment="1">
      <x:alignment vertical="center"/>
    </x:xf>
    <x:xf numFmtId="0" fontId="5" fillId="6" borderId="1" xfId="0" applyNumberFormat="1" applyFont="1" applyFill="1" applyBorder="1" applyAlignment="1">
      <x:alignment vertical="center" wrapText="1"/>
    </x:xf>
    <x:xf numFmtId="0" fontId="6" fillId="7" borderId="1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2" fillId="3" borderId="2" xfId="0" applyNumberFormat="1" applyFont="1" applyFill="1" applyBorder="1" applyAlignment="1">
      <x:alignment vertical="center" wrapText="1"/>
    </x:xf>
    <x:xf numFmtId="0" fontId="0" fillId="0" borderId="3" xfId="0" applyNumberFormat="1" applyFont="1" applyFill="1" applyBorder="1" applyAlignment="1">
      <x:alignment vertical="center" wrapText="1"/>
    </x:xf>
    <x:xf numFmtId="0" fontId="2" fillId="3" borderId="4" xfId="0" applyNumberFormat="1" applyFont="1" applyFill="1" applyBorder="1" applyAlignment="1">
      <x:alignment vertical="center" wrapText="1"/>
    </x:xf>
    <x:xf numFmtId="0" fontId="0" fillId="0" borderId="5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 applyAlignment="1">
      <x:alignment vertical="center" wrapText="1"/>
    </x:xf>
    <x:xf numFmtId="0" fontId="3" fillId="4" borderId="4" xfId="0" applyNumberFormat="1" applyFont="1" applyFill="1" applyBorder="1" applyAlignment="1">
      <x:alignment vertical="center" wrapText="1"/>
    </x:xf>
    <x:xf numFmtId="200" fontId="4" fillId="5" borderId="5" xfId="0" applyNumberFormat="1" applyFont="1" applyFill="1" applyBorder="1" applyAlignment="1">
      <x:alignment vertical="center" wrapText="1"/>
    </x:xf>
    <x:xf numFmtId="0" fontId="3" fillId="4" borderId="6" xfId="0" applyNumberFormat="1" applyFont="1" applyFill="1" applyBorder="1" applyAlignment="1">
      <x:alignment vertical="center" wrapText="1"/>
    </x:xf>
    <x:xf numFmtId="200" fontId="4" fillId="5" borderId="7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2" fillId="3" borderId="8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vertical="center" wrapText="1"/>
    </x:xf>
    <x:xf numFmtId="0" fontId="2" fillId="3" borderId="10" xfId="0" applyNumberFormat="1" applyFont="1" applyFill="1" applyBorder="1" applyAlignment="1">
      <x:alignment vertical="center" wrapText="1"/>
    </x:xf>
    <x:xf numFmtId="0" fontId="0" fillId="0" borderId="11" xfId="0" applyNumberFormat="1" applyFont="1" applyFill="1" applyBorder="1" applyAlignment="1">
      <x:alignment vertical="center" wrapText="1"/>
    </x:xf>
    <x:xf numFmtId="0" fontId="0" fillId="0" borderId="10" xfId="0" applyNumberFormat="1" applyFont="1" applyFill="1" applyBorder="1" applyAlignment="1">
      <x:alignment vertical="center" wrapText="1"/>
    </x:xf>
    <x:xf numFmtId="0" fontId="3" fillId="4" borderId="10" xfId="0" applyNumberFormat="1" applyFont="1" applyFill="1" applyBorder="1" applyAlignment="1">
      <x:alignment vertical="center" wrapText="1"/>
    </x:xf>
    <x:xf numFmtId="200" fontId="4" fillId="5" borderId="11" xfId="0" applyNumberFormat="1" applyFont="1" applyFill="1" applyBorder="1" applyAlignment="1">
      <x:alignment vertical="center" wrapText="1"/>
    </x:xf>
    <x:xf numFmtId="0" fontId="3" fillId="4" borderId="12" xfId="0" applyNumberFormat="1" applyFont="1" applyFill="1" applyBorder="1" applyAlignment="1">
      <x:alignment vertical="center" wrapText="1"/>
    </x:xf>
    <x:xf numFmtId="200" fontId="4" fillId="5" borderId="13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8" borderId="0" xfId="0" applyNumberFormat="1" applyFont="1" applyFill="1" applyBorder="1" applyAlignment="1">
      <x:alignment vertical="center" wrapText="1"/>
    </x:xf>
    <x:xf numFmtId="0" fontId="0" fillId="8" borderId="1" xfId="0" applyNumberFormat="1" applyFont="1" applyFill="1" applyBorder="1" applyAlignment="1">
      <x:alignment vertical="center" wrapText="1"/>
    </x:xf>
    <x:xf numFmtId="0" fontId="7" fillId="8" borderId="0" xfId="0" applyNumberFormat="1" applyFont="1" applyFill="1" applyBorder="1" applyAlignment="1">
      <x:alignment vertical="center" wrapText="1"/>
    </x:xf>
    <x:xf numFmtId="0" fontId="7" fillId="8" borderId="1" xfId="0" applyNumberFormat="1" applyFont="1" applyFill="1" applyBorder="1" applyAlignment="1">
      <x:alignment vertical="center" wrapText="1"/>
    </x:xf>
    <x:xf numFmtId="0" fontId="7" fillId="8" borderId="0" xfId="0" applyNumberFormat="1" applyFont="1" applyFill="1" applyBorder="1" applyAlignment="1">
      <x:alignment horizontal="center" vertical="center" wrapText="1"/>
    </x:xf>
    <x:xf numFmtId="0" fontId="7" fillId="8" borderId="1" xfId="0" applyNumberFormat="1" applyFont="1" applyFill="1" applyBorder="1" applyAlignment="1">
      <x:alignment horizontal="center" vertical="center" wrapText="1"/>
    </x:xf>
    <x:xf numFmtId="0" fontId="0" fillId="0" borderId="14" xfId="0" applyNumberFormat="1" applyFont="1" applyFill="1" applyBorder="1" applyAlignment="1">
      <x:alignment vertical="center" wrapText="1"/>
    </x:xf>
    <x:xf numFmtId="0" fontId="0" fillId="0" borderId="15" xfId="0" applyNumberFormat="1" applyFont="1" applyFill="1" applyBorder="1" applyAlignment="1">
      <x:alignment vertical="center" wrapText="1"/>
    </x:xf>
    <x:xf numFmtId="0" fontId="0" fillId="0" borderId="16" xfId="0" applyNumberFormat="1" applyFont="1" applyFill="1" applyBorder="1" applyAlignment="1">
      <x:alignment vertical="center" wrapText="1"/>
    </x:xf>
    <x:xf numFmtId="0" fontId="0" fillId="0" borderId="17" xfId="0" applyNumberFormat="1" applyFont="1" applyFill="1" applyBorder="1" applyAlignment="1">
      <x:alignment vertical="center" wrapText="1"/>
    </x:xf>
    <x:xf numFmtId="0" fontId="0" fillId="0" borderId="18" xfId="0" applyNumberFormat="1" applyFont="1" applyFill="1" applyBorder="1" applyAlignment="1">
      <x:alignment vertical="center" wrapText="1"/>
    </x:xf>
    <x:xf numFmtId="0" fontId="0" fillId="0" borderId="19" xfId="0" applyNumberFormat="1" applyFont="1" applyFill="1" applyBorder="1" applyAlignment="1">
      <x:alignment vertical="center" wrapText="1"/>
    </x:xf>
    <x:xf numFmtId="0" fontId="8" fillId="2" borderId="0" xfId="0" applyNumberFormat="1" applyFont="1" applyFill="1" applyBorder="1"/>
    <x:xf numFmtId="0" fontId="8" fillId="2" borderId="1" xfId="0" applyNumberFormat="1" applyFont="1" applyFill="1" applyBorder="1"/>
    <x:xf numFmtId="0" fontId="8" fillId="2" borderId="0" xfId="0" applyNumberFormat="1" applyFont="1" applyFill="1" applyBorder="1" applyAlignment="1">
      <x:alignment horizontal="center"/>
    </x:xf>
    <x:xf numFmtId="0" fontId="8" fillId="2" borderId="1" xfId="0" applyNumberFormat="1" applyFont="1" applyFill="1" applyBorder="1" applyAlignment="1">
      <x:alignment horizontal="center"/>
    </x:xf>
    <x:xf numFmtId="0" fontId="0" fillId="8" borderId="0" xfId="0" applyNumberFormat="1" applyFont="1" applyFill="1" applyBorder="1"/>
    <x:xf numFmtId="0" fontId="0" fillId="8" borderId="1" xfId="0" applyNumberFormat="1" applyFont="1" applyFill="1" applyBorder="1"/>
    <x:xf numFmtId="0" fontId="7" fillId="8" borderId="0" xfId="0" applyNumberFormat="1" applyFont="1" applyFill="1" applyBorder="1"/>
    <x:xf numFmtId="0" fontId="7" fillId="8" borderId="1" xfId="0" applyNumberFormat="1" applyFont="1" applyFill="1" applyBorder="1"/>
    <x:xf numFmtId="0" fontId="7" fillId="8" borderId="0" xfId="0" applyNumberFormat="1" applyFont="1" applyFill="1" applyBorder="1" applyAlignment="1">
      <x:alignment horizontal="center"/>
    </x:xf>
    <x:xf numFmtId="0" fontId="7" fillId="8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b27888281f7423a" /><Relationship Type="http://schemas.openxmlformats.org/officeDocument/2006/relationships/theme" Target="/xl/theme/theme1.xml" Id="Raad064aec8c04335" /><Relationship Type="http://schemas.openxmlformats.org/officeDocument/2006/relationships/sharedStrings" Target="/xl/sharedStrings.xml" Id="Rf2660762303a42cb" /><Relationship Type="http://schemas.openxmlformats.org/officeDocument/2006/relationships/worksheet" Target="/xl/worksheets/sheet1.xml" Id="Ra492aabd637d4391" /><Relationship Type="http://schemas.openxmlformats.org/officeDocument/2006/relationships/worksheet" Target="/xl/worksheets/sheet2.xml" Id="Re1e7676008364831" /><Relationship Type="http://schemas.openxmlformats.org/officeDocument/2006/relationships/worksheet" Target="/xl/worksheets/sheet3.xml" Id="Rc7fc75ac31fb4811" /><Relationship Type="http://schemas.openxmlformats.org/officeDocument/2006/relationships/worksheet" Target="/xl/worksheets/sheet4.xml" Id="R2286ff5e2f414923" /><Relationship Type="http://schemas.openxmlformats.org/officeDocument/2006/relationships/worksheet" Target="/xl/worksheets/sheet5.xml" Id="Re7d6276443d94beb" /></Relationships>
</file>

<file path=xl/tables/table1.xml><?xml version="1.0" encoding="utf-8"?>
<x:table xmlns:x="http://schemas.openxmlformats.org/spreadsheetml/2006/main" id="1" name="AcrylicBomTable" displayName="AcrylicBomTable" ref="A1:E8" headerRowCount="1" totalsRowCount="0" totalsRowShown="0">
  <x:tableColumns count="5">
    <x:tableColumn id="1" name="module_id"/>
    <x:tableColumn id="2" name="kind"/>
    <x:tableColumn id="3" name="dimensions_mm"/>
    <x:tableColumn id="4" name="quantity"/>
    <x:tableColumn id="5" name="descripti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crylicCutListTable" displayName="AcrylicCutListTable" ref="A1:G22" headerRowCount="1" totalsRowCount="0" totalsRowShown="0">
  <x:tableColumns count="7">
    <x:tableColumn id="1" name="part_id"/>
    <x:tableColumn id="2" name="module_id"/>
    <x:tableColumn id="3" name="material"/>
    <x:tableColumn id="4" name="thickness_mm"/>
    <x:tableColumn id="5" name="blank_or_profile_mm"/>
    <x:tableColumn id="6" name="quantity"/>
    <x:tableColumn id="7" name="fabrication_not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cenePlacementTable" displayName="ScenePlacementTable" ref="A1:I28" headerRowCount="1" totalsRowCount="0" totalsRowShown="0">
  <x:tableColumns count="9">
    <x:tableColumn id="1" name="scene"/>
    <x:tableColumn id="2" name="role"/>
    <x:tableColumn id="3" name="obstacle_id"/>
    <x:tableColumn id="4" name="module"/>
    <x:tableColumn id="5" name="field_x_m"/>
    <x:tableColumn id="6" name="field_y_m"/>
    <x:tableColumn id="7" name="experiment_x_m"/>
    <x:tableColumn id="8" name="experiment_y_m"/>
    <x:tableColumn id="9" name="yaw_deg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6d69fd9ae9d464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266947b45674af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b798e75d0e744f7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4" hidden="0" customWidth="1"/>
    <x:col min="3" max="3" width="20" hidden="0" customWidth="1"/>
    <x:col min="4" max="4" width="10" hidden="0" customWidth="1"/>
    <x:col min="5" max="5" width="64" hidden="0" customWidth="1"/>
  </x:cols>
  <x:sheetData>
    <x:row r="1">
      <x:c r="A1" s="106" t="str">
        <x:v>module_id</x:v>
      </x:c>
      <x:c r="B1" s="106" t="str">
        <x:v>kind</x:v>
      </x:c>
      <x:c r="C1" s="106" t="str">
        <x:v>dimensions_mm</x:v>
      </x:c>
      <x:c r="D1" s="106" t="str">
        <x:v>quantity</x:v>
      </x:c>
      <x:c r="E1" s="106" t="str">
        <x:v>description</x:v>
      </x:c>
    </x:row>
    <x:row r="2">
      <x:c r="A2" s="108" t="str">
        <x:v>W600</x:v>
      </x:c>
      <x:c r="B2" s="108" t="str">
        <x:v>wall</x:v>
      </x:c>
      <x:c r="C2" s="108" t="str">
        <x:v>600x160x350</x:v>
      </x:c>
      <x:c r="D2" s="108" t="n">
        <x:v>10</x:v>
      </x:c>
      <x:c r="E2" s="108" t="str">
        <x:v>6 mm 不透明哑光亚克力低墙标准模块（宽底座+三角加强肋）</x:v>
      </x:c>
    </x:row>
    <x:row r="3">
      <x:c r="A3" s="109" t="str">
        <x:v>W300</x:v>
      </x:c>
      <x:c r="B3" s="109" t="str">
        <x:v>wall</x:v>
      </x:c>
      <x:c r="C3" s="109" t="str">
        <x:v>300x160x350</x:v>
      </x:c>
      <x:c r="D3" s="109" t="n">
        <x:v>6</x:v>
      </x:c>
      <x:c r="E3" s="109" t="str">
        <x:v>6 mm 不透明哑光亚克力低墙延长模块（宽底座+三角加强肋）</x:v>
      </x:c>
    </x:row>
    <x:row r="4">
      <x:c r="A4" s="109" t="str">
        <x:v>C240</x:v>
      </x:c>
      <x:c r="B4" s="109" t="str">
        <x:v>octagonal_prism</x:v>
      </x:c>
      <x:c r="C4" s="109" t="str">
        <x:v>D240xH350</x:v>
      </x:c>
      <x:c r="D4" s="109" t="n">
        <x:v>4</x:v>
      </x:c>
      <x:c r="E4" s="109" t="str">
        <x:v>4 mm 不透明哑光亚克力八边形柱（外接直径 240 mm）</x:v>
      </x:c>
    </x:row>
    <x:row r="5">
      <x:c r="A5" s="109" t="str">
        <x:v>C320</x:v>
      </x:c>
      <x:c r="B5" s="109" t="str">
        <x:v>octagonal_prism</x:v>
      </x:c>
      <x:c r="C5" s="109" t="str">
        <x:v>D320xH350</x:v>
      </x:c>
      <x:c r="D5" s="109" t="n">
        <x:v>4</x:v>
      </x:c>
      <x:c r="E5" s="109" t="str">
        <x:v>4 mm 不透明哑光亚克力八边形柱（外接直径 320 mm）</x:v>
      </x:c>
    </x:row>
    <x:row r="6">
      <x:c r="A6" s="109" t="str">
        <x:v>C560</x:v>
      </x:c>
      <x:c r="B6" s="109" t="str">
        <x:v>octagonal_prism</x:v>
      </x:c>
      <x:c r="C6" s="109" t="str">
        <x:v>D560xH350</x:v>
      </x:c>
      <x:c r="D6" s="109" t="n">
        <x:v>1</x:v>
      </x:c>
      <x:c r="E6" s="109" t="str">
        <x:v>4 mm 不透明哑光亚克力八边形基准障碍（外接直径 560 mm）</x:v>
      </x:c>
    </x:row>
    <x:row r="7">
      <x:c r="A7" s="109" t="str">
        <x:v>D320</x:v>
      </x:c>
      <x:c r="B7" s="109" t="str">
        <x:v>dynamic_octagonal_shell</x:v>
      </x:c>
      <x:c r="C7" s="109" t="str">
        <x:v>D320xH300</x:v>
      </x:c>
      <x:c r="D7" s="109" t="n">
        <x:v>1</x:v>
      </x:c>
      <x:c r="E7" s="109" t="str">
        <x:v>轻量亚克力八边形动态外壳（仅限低速、软边条与独立急停）</x:v>
      </x:c>
    </x:row>
    <x:row r="8">
      <x:c r="A8" s="110" t="str">
        <x:v>F1800</x:v>
      </x:c>
      <x:c r="B8" s="110" t="str">
        <x:v>floor_patch</x:v>
      </x:c>
      <x:c r="C8" s="110" t="str">
        <x:v>1800x1200x2</x:v>
      </x:c>
      <x:c r="D8" s="110" t="n">
        <x:v>2</x:v>
      </x:c>
      <x:c r="E8" s="110" t="str">
        <x:v>动力学变化实验用可拆卸地面材料</x:v>
      </x:c>
    </x:row>
  </x:sheetData>
  <x:pageMargins left="0.7" right="0.7" top="0.75" bottom="0.75" header="0.3" footer="0.3"/>
  <x:tableParts count="1">
    <x:tablePart xmlns:r="http://schemas.openxmlformats.org/officeDocument/2006/relationships" r:id="R66d69fd9ae9d464f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28" hidden="0" customWidth="1"/>
    <x:col min="4" max="4" width="14" hidden="0" customWidth="1"/>
    <x:col min="5" max="5" width="34" hidden="0" customWidth="1"/>
    <x:col min="6" max="6" width="10" hidden="0" customWidth="1"/>
    <x:col min="7" max="7" width="66" hidden="0" customWidth="1"/>
  </x:cols>
  <x:sheetData>
    <x:row r="1">
      <x:c r="A1" s="106" t="str">
        <x:v>part_id</x:v>
      </x:c>
      <x:c r="B1" s="106" t="str">
        <x:v>module_id</x:v>
      </x:c>
      <x:c r="C1" s="106" t="str">
        <x:v>material</x:v>
      </x:c>
      <x:c r="D1" s="106" t="str">
        <x:v>thickness_mm</x:v>
      </x:c>
      <x:c r="E1" s="106" t="str">
        <x:v>blank_or_profile_mm</x:v>
      </x:c>
      <x:c r="F1" s="106" t="str">
        <x:v>quantity</x:v>
      </x:c>
      <x:c r="G1" s="106" t="str">
        <x:v>fabrication_notes</x:v>
      </x:c>
    </x:row>
    <x:row r="2">
      <x:c r="A2" s="108" t="str">
        <x:v>W600-A</x:v>
      </x:c>
      <x:c r="B2" s="108" t="str">
        <x:v>W600</x:v>
      </x:c>
      <x:c r="C2" s="108" t="str">
        <x:v>opaque matte cast PMMA</x:v>
      </x:c>
      <x:c r="D2" s="108" t="n">
        <x:v>6</x:v>
      </x:c>
      <x:c r="E2" s="108" t="str">
        <x:v>600x344 main panel</x:v>
      </x:c>
      <x:c r="F2" s="108" t="n">
        <x:v>10</x:v>
      </x:c>
      <x:c r="G2" s="108" t="str">
        <x:v>top corners R20; lower corners R5; deburr; silicone U-edge</x:v>
      </x:c>
    </x:row>
    <x:row r="3">
      <x:c r="A3" s="109" t="str">
        <x:v>W600-B</x:v>
      </x:c>
      <x:c r="B3" s="109" t="str">
        <x:v>W600</x:v>
      </x:c>
      <x:c r="C3" s="109" t="str">
        <x:v>opaque matte cast PMMA</x:v>
      </x:c>
      <x:c r="D3" s="109" t="n">
        <x:v>6</x:v>
      </x:c>
      <x:c r="E3" s="109" t="str">
        <x:v>600x160 base</x:v>
      </x:c>
      <x:c r="F3" s="109" t="n">
        <x:v>10</x:v>
      </x:c>
      <x:c r="G3" s="109" t="str">
        <x:v>NO THROUGH SLOT; etch centerline and gusset stations X=60/300/540; nonslip pads below</x:v>
      </x:c>
    </x:row>
    <x:row r="4">
      <x:c r="A4" s="109" t="str">
        <x:v>W600-C</x:v>
      </x:c>
      <x:c r="B4" s="109" t="str">
        <x:v>W600</x:v>
      </x:c>
      <x:c r="C4" s="109" t="str">
        <x:v>opaque matte cast PMMA</x:v>
      </x:c>
      <x:c r="D4" s="109" t="n">
        <x:v>6</x:v>
      </x:c>
      <x:c r="E4" s="109" t="str">
        <x:v>70x100 right-triangle gusset</x:v>
      </x:c>
      <x:c r="F4" s="109" t="n">
        <x:v>60</x:v>
      </x:c>
      <x:c r="G4" s="109" t="str">
        <x:v>install as front/back pairs; R5 exposed corner; solvent bond</x:v>
      </x:c>
    </x:row>
    <x:row r="5">
      <x:c r="A5" s="109" t="str">
        <x:v>W300-A</x:v>
      </x:c>
      <x:c r="B5" s="109" t="str">
        <x:v>W300</x:v>
      </x:c>
      <x:c r="C5" s="109" t="str">
        <x:v>opaque matte cast PMMA</x:v>
      </x:c>
      <x:c r="D5" s="109" t="n">
        <x:v>6</x:v>
      </x:c>
      <x:c r="E5" s="109" t="str">
        <x:v>300x344 main panel</x:v>
      </x:c>
      <x:c r="F5" s="109" t="n">
        <x:v>6</x:v>
      </x:c>
      <x:c r="G5" s="109" t="str">
        <x:v>top corners R20; lower corners R5; deburr; silicone U-edge</x:v>
      </x:c>
    </x:row>
    <x:row r="6">
      <x:c r="A6" s="109" t="str">
        <x:v>W300-B</x:v>
      </x:c>
      <x:c r="B6" s="109" t="str">
        <x:v>W300</x:v>
      </x:c>
      <x:c r="C6" s="109" t="str">
        <x:v>opaque matte cast PMMA</x:v>
      </x:c>
      <x:c r="D6" s="109" t="n">
        <x:v>6</x:v>
      </x:c>
      <x:c r="E6" s="109" t="str">
        <x:v>300x160 base</x:v>
      </x:c>
      <x:c r="F6" s="109" t="n">
        <x:v>6</x:v>
      </x:c>
      <x:c r="G6" s="109" t="str">
        <x:v>NO THROUGH SLOT; etch centerline and gusset stations X=60/240; nonslip pads below</x:v>
      </x:c>
    </x:row>
    <x:row r="7">
      <x:c r="A7" s="109" t="str">
        <x:v>W300-C</x:v>
      </x:c>
      <x:c r="B7" s="109" t="str">
        <x:v>W300</x:v>
      </x:c>
      <x:c r="C7" s="109" t="str">
        <x:v>opaque matte cast PMMA</x:v>
      </x:c>
      <x:c r="D7" s="109" t="n">
        <x:v>6</x:v>
      </x:c>
      <x:c r="E7" s="109" t="str">
        <x:v>70x100 right-triangle gusset</x:v>
      </x:c>
      <x:c r="F7" s="109" t="n">
        <x:v>24</x:v>
      </x:c>
      <x:c r="G7" s="109" t="str">
        <x:v>install as front/back pairs; R5 exposed corner; solvent bond</x:v>
      </x:c>
    </x:row>
    <x:row r="8">
      <x:c r="A8" s="109" t="str">
        <x:v>C240-A</x:v>
      </x:c>
      <x:c r="B8" s="109" t="str">
        <x:v>C240</x:v>
      </x:c>
      <x:c r="C8" s="109" t="str">
        <x:v>opaque matte cast PMMA</x:v>
      </x:c>
      <x:c r="D8" s="109" t="n">
        <x:v>4</x:v>
      </x:c>
      <x:c r="E8" s="109" t="str">
        <x:v>91.8x344 side panel</x:v>
      </x:c>
      <x:c r="F8" s="109" t="n">
        <x:v>32</x:v>
      </x:c>
      <x:c r="G8" s="109" t="str">
        <x:v>eight equal panels; 22.5-deg vertical miter or supplier-equivalent inner seam; silicone edge at top</x:v>
      </x:c>
    </x:row>
    <x:row r="9">
      <x:c r="A9" s="109" t="str">
        <x:v>C240-B</x:v>
      </x:c>
      <x:c r="B9" s="109" t="str">
        <x:v>C240</x:v>
      </x:c>
      <x:c r="C9" s="109" t="str">
        <x:v>opaque matte cast PMMA</x:v>
      </x:c>
      <x:c r="D9" s="109" t="n">
        <x:v>6</x:v>
      </x:c>
      <x:c r="E9" s="109" t="str">
        <x:v>regular octagon D240</x:v>
      </x:c>
      <x:c r="F9" s="109" t="n">
        <x:v>4</x:v>
      </x:c>
      <x:c r="G9" s="109" t="str">
        <x:v>full base; D is circumscribed diameter; nonslip pads below</x:v>
      </x:c>
    </x:row>
    <x:row r="10">
      <x:c r="A10" s="109" t="str">
        <x:v>C240-C</x:v>
      </x:c>
      <x:c r="B10" s="109" t="str">
        <x:v>C240</x:v>
      </x:c>
      <x:c r="C10" s="109" t="str">
        <x:v>opaque matte cast PMMA</x:v>
      </x:c>
      <x:c r="D10" s="109" t="n">
        <x:v>6</x:v>
      </x:c>
      <x:c r="E10" s="109" t="str">
        <x:v>30-wide octagonal ring, outer D approx 231.3</x:v>
      </x:c>
      <x:c r="F10" s="109" t="n">
        <x:v>4</x:v>
      </x:c>
      <x:c r="G10" s="109" t="str">
        <x:v>fit inside side panels; top flush; freeze after C320 first-article fit</x:v>
      </x:c>
    </x:row>
    <x:row r="11">
      <x:c r="A11" s="109" t="str">
        <x:v>C320-A</x:v>
      </x:c>
      <x:c r="B11" s="109" t="str">
        <x:v>C320</x:v>
      </x:c>
      <x:c r="C11" s="109" t="str">
        <x:v>opaque matte cast PMMA</x:v>
      </x:c>
      <x:c r="D11" s="109" t="n">
        <x:v>4</x:v>
      </x:c>
      <x:c r="E11" s="109" t="str">
        <x:v>122.5x344 side panel</x:v>
      </x:c>
      <x:c r="F11" s="109" t="n">
        <x:v>32</x:v>
      </x:c>
      <x:c r="G11" s="109" t="str">
        <x:v>eight equal panels; 22.5-deg vertical miter or supplier-equivalent inner seam; silicone edge at top</x:v>
      </x:c>
    </x:row>
    <x:row r="12">
      <x:c r="A12" s="109" t="str">
        <x:v>C320-B</x:v>
      </x:c>
      <x:c r="B12" s="109" t="str">
        <x:v>C320</x:v>
      </x:c>
      <x:c r="C12" s="109" t="str">
        <x:v>opaque matte cast PMMA</x:v>
      </x:c>
      <x:c r="D12" s="109" t="n">
        <x:v>6</x:v>
      </x:c>
      <x:c r="E12" s="109" t="str">
        <x:v>regular octagon D320</x:v>
      </x:c>
      <x:c r="F12" s="109" t="n">
        <x:v>4</x:v>
      </x:c>
      <x:c r="G12" s="109" t="str">
        <x:v>full base; D is circumscribed diameter; nonslip pads below</x:v>
      </x:c>
    </x:row>
    <x:row r="13">
      <x:c r="A13" s="109" t="str">
        <x:v>C320-C</x:v>
      </x:c>
      <x:c r="B13" s="109" t="str">
        <x:v>C320</x:v>
      </x:c>
      <x:c r="C13" s="109" t="str">
        <x:v>opaque matte cast PMMA</x:v>
      </x:c>
      <x:c r="D13" s="109" t="n">
        <x:v>6</x:v>
      </x:c>
      <x:c r="E13" s="109" t="str">
        <x:v>30-wide octagonal ring, outer D approx 311.3</x:v>
      </x:c>
      <x:c r="F13" s="109" t="n">
        <x:v>4</x:v>
      </x:c>
      <x:c r="G13" s="109" t="str">
        <x:v>fit inside side panels; top flush; freeze after C320 first-article fit</x:v>
      </x:c>
    </x:row>
    <x:row r="14">
      <x:c r="A14" s="109" t="str">
        <x:v>C560-A</x:v>
      </x:c>
      <x:c r="B14" s="109" t="str">
        <x:v>C560</x:v>
      </x:c>
      <x:c r="C14" s="109" t="str">
        <x:v>opaque matte cast PMMA</x:v>
      </x:c>
      <x:c r="D14" s="109" t="n">
        <x:v>4</x:v>
      </x:c>
      <x:c r="E14" s="109" t="str">
        <x:v>214.3x344 side panel</x:v>
      </x:c>
      <x:c r="F14" s="109" t="n">
        <x:v>8</x:v>
      </x:c>
      <x:c r="G14" s="109" t="str">
        <x:v>eight equal panels; 22.5-deg vertical miter or supplier-equivalent inner seam; silicone edge at top</x:v>
      </x:c>
    </x:row>
    <x:row r="15">
      <x:c r="A15" s="109" t="str">
        <x:v>C560-B</x:v>
      </x:c>
      <x:c r="B15" s="109" t="str">
        <x:v>C560</x:v>
      </x:c>
      <x:c r="C15" s="109" t="str">
        <x:v>opaque matte cast PMMA</x:v>
      </x:c>
      <x:c r="D15" s="109" t="n">
        <x:v>6</x:v>
      </x:c>
      <x:c r="E15" s="109" t="str">
        <x:v>regular octagon D560</x:v>
      </x:c>
      <x:c r="F15" s="109" t="n">
        <x:v>1</x:v>
      </x:c>
      <x:c r="G15" s="109" t="str">
        <x:v>full base; D is circumscribed diameter; nonslip pads below</x:v>
      </x:c>
    </x:row>
    <x:row r="16">
      <x:c r="A16" s="109" t="str">
        <x:v>C560-C</x:v>
      </x:c>
      <x:c r="B16" s="109" t="str">
        <x:v>C560</x:v>
      </x:c>
      <x:c r="C16" s="109" t="str">
        <x:v>opaque matte cast PMMA</x:v>
      </x:c>
      <x:c r="D16" s="109" t="n">
        <x:v>6</x:v>
      </x:c>
      <x:c r="E16" s="109" t="str">
        <x:v>30-wide octagonal ring, outer D approx 551.3</x:v>
      </x:c>
      <x:c r="F16" s="109" t="n">
        <x:v>1</x:v>
      </x:c>
      <x:c r="G16" s="109" t="str">
        <x:v>fit inside side panels; top flush; freeze after C320 first-article fit</x:v>
      </x:c>
    </x:row>
    <x:row r="17">
      <x:c r="A17" s="109" t="str">
        <x:v>D320-A</x:v>
      </x:c>
      <x:c r="B17" s="109" t="str">
        <x:v>D320</x:v>
      </x:c>
      <x:c r="C17" s="109" t="str">
        <x:v>opaque matte cast PMMA</x:v>
      </x:c>
      <x:c r="D17" s="109" t="n">
        <x:v>4</x:v>
      </x:c>
      <x:c r="E17" s="109" t="str">
        <x:v>122.5x294 side panel</x:v>
      </x:c>
      <x:c r="F17" s="109" t="n">
        <x:v>8</x:v>
      </x:c>
      <x:c r="G17" s="109" t="str">
        <x:v>eight equal panels; 22.5-deg vertical miter or supplier-equivalent inner seam; silicone edge at top</x:v>
      </x:c>
    </x:row>
    <x:row r="18">
      <x:c r="A18" s="109" t="str">
        <x:v>D320-B</x:v>
      </x:c>
      <x:c r="B18" s="109" t="str">
        <x:v>D320</x:v>
      </x:c>
      <x:c r="C18" s="109" t="str">
        <x:v>opaque matte cast PMMA</x:v>
      </x:c>
      <x:c r="D18" s="109" t="n">
        <x:v>6</x:v>
      </x:c>
      <x:c r="E18" s="109" t="str">
        <x:v>regular octagon D320</x:v>
      </x:c>
      <x:c r="F18" s="109" t="n">
        <x:v>1</x:v>
      </x:c>
      <x:c r="G18" s="109" t="str">
        <x:v>full base; D is circumscribed diameter; nonslip pads below</x:v>
      </x:c>
    </x:row>
    <x:row r="19">
      <x:c r="A19" s="109" t="str">
        <x:v>D320-C</x:v>
      </x:c>
      <x:c r="B19" s="109" t="str">
        <x:v>D320</x:v>
      </x:c>
      <x:c r="C19" s="109" t="str">
        <x:v>opaque matte cast PMMA</x:v>
      </x:c>
      <x:c r="D19" s="109" t="n">
        <x:v>6</x:v>
      </x:c>
      <x:c r="E19" s="109" t="str">
        <x:v>30-wide octagonal ring, outer D approx 311.3</x:v>
      </x:c>
      <x:c r="F19" s="109" t="n">
        <x:v>1</x:v>
      </x:c>
      <x:c r="G19" s="109" t="str">
        <x:v>fit inside side panels; top flush; freeze after C320 first-article fit</x:v>
      </x:c>
    </x:row>
    <x:row r="20">
      <x:c r="A20" s="109" t="str">
        <x:v>J-S</x:v>
      </x:c>
      <x:c r="B20" s="109" t="str">
        <x:v>CONNECTOR</x:v>
      </x:c>
      <x:c r="C20" s="109" t="str">
        <x:v>opaque matte cast PMMA</x:v>
      </x:c>
      <x:c r="D20" s="109" t="n">
        <x:v>6</x:v>
      </x:c>
      <x:c r="E20" s="109" t="str">
        <x:v>160x60 splice plate</x:v>
      </x:c>
      <x:c r="F20" s="109" t="n">
        <x:v>12</x:v>
      </x:c>
      <x:c r="G20" s="109" t="str">
        <x:v>final slot/hole pattern frozen after W600 first-article fit</x:v>
      </x:c>
    </x:row>
    <x:row r="21">
      <x:c r="A21" s="109" t="str">
        <x:v>J-L</x:v>
      </x:c>
      <x:c r="B21" s="109" t="str">
        <x:v>CONNECTOR</x:v>
      </x:c>
      <x:c r="C21" s="109" t="str">
        <x:v>opaque matte cast PMMA</x:v>
      </x:c>
      <x:c r="D21" s="109" t="n">
        <x:v>6</x:v>
      </x:c>
      <x:c r="E21" s="109" t="str">
        <x:v>160x160 L plate</x:v>
      </x:c>
      <x:c r="F21" s="109" t="n">
        <x:v>6</x:v>
      </x:c>
      <x:c r="G21" s="109" t="str">
        <x:v>final slot/hole pattern frozen after W600 first-article fit</x:v>
      </x:c>
    </x:row>
    <x:row r="22">
      <x:c r="A22" s="110" t="str">
        <x:v>J-T</x:v>
      </x:c>
      <x:c r="B22" s="110" t="str">
        <x:v>CONNECTOR</x:v>
      </x:c>
      <x:c r="C22" s="110" t="str">
        <x:v>opaque matte cast PMMA</x:v>
      </x:c>
      <x:c r="D22" s="110" t="n">
        <x:v>6</x:v>
      </x:c>
      <x:c r="E22" s="110" t="str">
        <x:v>240x160 T plate</x:v>
      </x:c>
      <x:c r="F22" s="110" t="n">
        <x:v>2</x:v>
      </x:c>
      <x:c r="G22" s="110" t="str">
        <x:v>final slot/hole pattern frozen after W600 first-article fit</x:v>
      </x:c>
    </x:row>
  </x:sheetData>
  <x:pageMargins left="0.7" right="0.7" top="0.75" bottom="0.75" header="0.3" footer="0.3"/>
  <x:tableParts count="1">
    <x:tablePart xmlns:r="http://schemas.openxmlformats.org/officeDocument/2006/relationships" r:id="R0266947b45674af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36" hidden="0" customWidth="1"/>
    <x:col min="3" max="3" width="14" hidden="0" customWidth="1"/>
    <x:col min="4" max="4" width="12" hidden="0" customWidth="1"/>
    <x:col min="5" max="5" width="14" hidden="0" customWidth="1"/>
    <x:col min="6" max="6" width="14" hidden="0" customWidth="1"/>
    <x:col min="7" max="7" width="18" hidden="0" customWidth="1"/>
    <x:col min="8" max="8" width="18" hidden="0" customWidth="1"/>
    <x:col min="9" max="9" width="12" hidden="0" customWidth="1"/>
  </x:cols>
  <x:sheetData>
    <x:row r="1">
      <x:c r="A1" s="106" t="str">
        <x:v>scene</x:v>
      </x:c>
      <x:c r="B1" s="106" t="str">
        <x:v>role</x:v>
      </x:c>
      <x:c r="C1" s="106" t="str">
        <x:v>obstacle_id</x:v>
      </x:c>
      <x:c r="D1" s="106" t="str">
        <x:v>module</x:v>
      </x:c>
      <x:c r="E1" s="106" t="str">
        <x:v>field_x_m</x:v>
      </x:c>
      <x:c r="F1" s="106" t="str">
        <x:v>field_y_m</x:v>
      </x:c>
      <x:c r="G1" s="106" t="str">
        <x:v>experiment_x_m</x:v>
      </x:c>
      <x:c r="H1" s="106" t="str">
        <x:v>experiment_y_m</x:v>
      </x:c>
      <x:c r="I1" s="106" t="str">
        <x:v>yaw_deg</x:v>
      </x:c>
    </x:row>
    <x:row r="2">
      <x:c r="A2" s="108" t="str">
        <x:v>single_obstacle</x:v>
      </x:c>
      <x:c r="B2" s="108" t="str">
        <x:v>local_detour</x:v>
      </x:c>
      <x:c r="C2" s="108" t="str">
        <x:v>O1</x:v>
      </x:c>
      <x:c r="D2" s="108" t="str">
        <x:v>C560</x:v>
      </x:c>
      <x:c r="E2" s="108" t="n">
        <x:v>3</x:v>
      </x:c>
      <x:c r="F2" s="108" t="n">
        <x:v>3</x:v>
      </x:c>
      <x:c r="G2" s="108" t="n">
        <x:v>1.5</x:v>
      </x:c>
      <x:c r="H2" s="108" t="n">
        <x:v>1.5</x:v>
      </x:c>
      <x:c r="I2" s="108" t="n">
        <x:v>0</x:v>
      </x:c>
    </x:row>
    <x:row r="3">
      <x:c r="A3" s="109" t="str">
        <x:v>straight_corridor_0900</x:v>
      </x:c>
      <x:c r="B3" s="109" t="str">
        <x:v>local_geometry_and_sample_efficiency</x:v>
      </x:c>
      <x:c r="C3" s="109" t="str">
        <x:v>L1</x:v>
      </x:c>
      <x:c r="D3" s="109" t="str">
        <x:v>W600</x:v>
      </x:c>
      <x:c r="E3" s="109" t="n">
        <x:v>2.74</x:v>
      </x:c>
      <x:c r="F3" s="109" t="n">
        <x:v>3.49</x:v>
      </x:c>
      <x:c r="G3" s="109" t="n">
        <x:v>1.24</x:v>
      </x:c>
      <x:c r="H3" s="109" t="n">
        <x:v>1.99</x:v>
      </x:c>
      <x:c r="I3" s="109" t="n">
        <x:v>45</x:v>
      </x:c>
    </x:row>
    <x:row r="4">
      <x:c r="A4" s="109" t="str">
        <x:v>straight_corridor_0900</x:v>
      </x:c>
      <x:c r="B4" s="109" t="str">
        <x:v>local_geometry_and_sample_efficiency</x:v>
      </x:c>
      <x:c r="C4" s="109" t="str">
        <x:v>L2</x:v>
      </x:c>
      <x:c r="D4" s="109" t="str">
        <x:v>W600</x:v>
      </x:c>
      <x:c r="E4" s="109" t="n">
        <x:v>3.16</x:v>
      </x:c>
      <x:c r="F4" s="109" t="n">
        <x:v>3.91</x:v>
      </x:c>
      <x:c r="G4" s="109" t="n">
        <x:v>1.66</x:v>
      </x:c>
      <x:c r="H4" s="109" t="n">
        <x:v>2.41</x:v>
      </x:c>
      <x:c r="I4" s="109" t="n">
        <x:v>45</x:v>
      </x:c>
    </x:row>
    <x:row r="5">
      <x:c r="A5" s="109" t="str">
        <x:v>straight_corridor_0900</x:v>
      </x:c>
      <x:c r="B5" s="109" t="str">
        <x:v>local_geometry_and_sample_efficiency</x:v>
      </x:c>
      <x:c r="C5" s="109" t="str">
        <x:v>L3</x:v>
      </x:c>
      <x:c r="D5" s="109" t="str">
        <x:v>W600</x:v>
      </x:c>
      <x:c r="E5" s="109" t="n">
        <x:v>3.59</x:v>
      </x:c>
      <x:c r="F5" s="109" t="n">
        <x:v>4.34</x:v>
      </x:c>
      <x:c r="G5" s="109" t="n">
        <x:v>2.09</x:v>
      </x:c>
      <x:c r="H5" s="109" t="n">
        <x:v>2.84</x:v>
      </x:c>
      <x:c r="I5" s="109" t="n">
        <x:v>45</x:v>
      </x:c>
    </x:row>
    <x:row r="6">
      <x:c r="A6" s="109" t="str">
        <x:v>straight_corridor_0900</x:v>
      </x:c>
      <x:c r="B6" s="109" t="str">
        <x:v>local_geometry_and_sample_efficiency</x:v>
      </x:c>
      <x:c r="C6" s="109" t="str">
        <x:v>L4</x:v>
      </x:c>
      <x:c r="D6" s="109" t="str">
        <x:v>W600</x:v>
      </x:c>
      <x:c r="E6" s="109" t="n">
        <x:v>4.01</x:v>
      </x:c>
      <x:c r="F6" s="109" t="n">
        <x:v>4.76</x:v>
      </x:c>
      <x:c r="G6" s="109" t="n">
        <x:v>2.51</x:v>
      </x:c>
      <x:c r="H6" s="109" t="n">
        <x:v>3.26</x:v>
      </x:c>
      <x:c r="I6" s="109" t="n">
        <x:v>45</x:v>
      </x:c>
    </x:row>
    <x:row r="7">
      <x:c r="A7" s="109" t="str">
        <x:v>straight_corridor_0900</x:v>
      </x:c>
      <x:c r="B7" s="109" t="str">
        <x:v>local_geometry_and_sample_efficiency</x:v>
      </x:c>
      <x:c r="C7" s="109" t="str">
        <x:v>R1</x:v>
      </x:c>
      <x:c r="D7" s="109" t="str">
        <x:v>W600</x:v>
      </x:c>
      <x:c r="E7" s="109" t="n">
        <x:v>3.49</x:v>
      </x:c>
      <x:c r="F7" s="109" t="n">
        <x:v>2.74</x:v>
      </x:c>
      <x:c r="G7" s="109" t="n">
        <x:v>1.99</x:v>
      </x:c>
      <x:c r="H7" s="109" t="n">
        <x:v>1.24</x:v>
      </x:c>
      <x:c r="I7" s="109" t="n">
        <x:v>45</x:v>
      </x:c>
    </x:row>
    <x:row r="8">
      <x:c r="A8" s="109" t="str">
        <x:v>straight_corridor_0900</x:v>
      </x:c>
      <x:c r="B8" s="109" t="str">
        <x:v>local_geometry_and_sample_efficiency</x:v>
      </x:c>
      <x:c r="C8" s="109" t="str">
        <x:v>R2</x:v>
      </x:c>
      <x:c r="D8" s="109" t="str">
        <x:v>W600</x:v>
      </x:c>
      <x:c r="E8" s="109" t="n">
        <x:v>3.91</x:v>
      </x:c>
      <x:c r="F8" s="109" t="n">
        <x:v>3.16</x:v>
      </x:c>
      <x:c r="G8" s="109" t="n">
        <x:v>2.41</x:v>
      </x:c>
      <x:c r="H8" s="109" t="n">
        <x:v>1.66</x:v>
      </x:c>
      <x:c r="I8" s="109" t="n">
        <x:v>45</x:v>
      </x:c>
    </x:row>
    <x:row r="9">
      <x:c r="A9" s="109" t="str">
        <x:v>straight_corridor_0900</x:v>
      </x:c>
      <x:c r="B9" s="109" t="str">
        <x:v>local_geometry_and_sample_efficiency</x:v>
      </x:c>
      <x:c r="C9" s="109" t="str">
        <x:v>R3</x:v>
      </x:c>
      <x:c r="D9" s="109" t="str">
        <x:v>W600</x:v>
      </x:c>
      <x:c r="E9" s="109" t="n">
        <x:v>4.34</x:v>
      </x:c>
      <x:c r="F9" s="109" t="n">
        <x:v>3.59</x:v>
      </x:c>
      <x:c r="G9" s="109" t="n">
        <x:v>2.84</x:v>
      </x:c>
      <x:c r="H9" s="109" t="n">
        <x:v>2.09</x:v>
      </x:c>
      <x:c r="I9" s="109" t="n">
        <x:v>45</x:v>
      </x:c>
    </x:row>
    <x:row r="10">
      <x:c r="A10" s="109" t="str">
        <x:v>straight_corridor_0900</x:v>
      </x:c>
      <x:c r="B10" s="109" t="str">
        <x:v>local_geometry_and_sample_efficiency</x:v>
      </x:c>
      <x:c r="C10" s="109" t="str">
        <x:v>R4</x:v>
      </x:c>
      <x:c r="D10" s="109" t="str">
        <x:v>W600</x:v>
      </x:c>
      <x:c r="E10" s="109" t="n">
        <x:v>4.76</x:v>
      </x:c>
      <x:c r="F10" s="109" t="n">
        <x:v>4.01</x:v>
      </x:c>
      <x:c r="G10" s="109" t="n">
        <x:v>3.26</x:v>
      </x:c>
      <x:c r="H10" s="109" t="n">
        <x:v>2.51</x:v>
      </x:c>
      <x:c r="I10" s="109" t="n">
        <x:v>45</x:v>
      </x:c>
    </x:row>
    <x:row r="11">
      <x:c r="A11" s="109" t="str">
        <x:v>u_trap</x:v>
      </x:c>
      <x:c r="B11" s="109" t="str">
        <x:v>local_minimum_and_recovery</x:v>
      </x:c>
      <x:c r="C11" s="109" t="str">
        <x:v>UL1</x:v>
      </x:c>
      <x:c r="D11" s="109" t="str">
        <x:v>W600</x:v>
      </x:c>
      <x:c r="E11" s="109" t="n">
        <x:v>2.72</x:v>
      </x:c>
      <x:c r="F11" s="109" t="n">
        <x:v>2.9</x:v>
      </x:c>
      <x:c r="G11" s="109" t="n">
        <x:v>1.22</x:v>
      </x:c>
      <x:c r="H11" s="109" t="n">
        <x:v>1.4</x:v>
      </x:c>
      <x:c r="I11" s="109" t="n">
        <x:v>90</x:v>
      </x:c>
    </x:row>
    <x:row r="12">
      <x:c r="A12" s="109" t="str">
        <x:v>u_trap</x:v>
      </x:c>
      <x:c r="B12" s="109" t="str">
        <x:v>local_minimum_and_recovery</x:v>
      </x:c>
      <x:c r="C12" s="109" t="str">
        <x:v>UL2</x:v>
      </x:c>
      <x:c r="D12" s="109" t="str">
        <x:v>W600</x:v>
      </x:c>
      <x:c r="E12" s="109" t="n">
        <x:v>2.72</x:v>
      </x:c>
      <x:c r="F12" s="109" t="n">
        <x:v>3.5</x:v>
      </x:c>
      <x:c r="G12" s="109" t="n">
        <x:v>1.22</x:v>
      </x:c>
      <x:c r="H12" s="109" t="n">
        <x:v>2</x:v>
      </x:c>
      <x:c r="I12" s="109" t="n">
        <x:v>90</x:v>
      </x:c>
    </x:row>
    <x:row r="13">
      <x:c r="A13" s="109" t="str">
        <x:v>u_trap</x:v>
      </x:c>
      <x:c r="B13" s="109" t="str">
        <x:v>local_minimum_and_recovery</x:v>
      </x:c>
      <x:c r="C13" s="109" t="str">
        <x:v>UR1</x:v>
      </x:c>
      <x:c r="D13" s="109" t="str">
        <x:v>W600</x:v>
      </x:c>
      <x:c r="E13" s="109" t="n">
        <x:v>3.88</x:v>
      </x:c>
      <x:c r="F13" s="109" t="n">
        <x:v>2.9</x:v>
      </x:c>
      <x:c r="G13" s="109" t="n">
        <x:v>2.38</x:v>
      </x:c>
      <x:c r="H13" s="109" t="n">
        <x:v>1.4</x:v>
      </x:c>
      <x:c r="I13" s="109" t="n">
        <x:v>90</x:v>
      </x:c>
    </x:row>
    <x:row r="14">
      <x:c r="A14" s="109" t="str">
        <x:v>u_trap</x:v>
      </x:c>
      <x:c r="B14" s="109" t="str">
        <x:v>local_minimum_and_recovery</x:v>
      </x:c>
      <x:c r="C14" s="109" t="str">
        <x:v>UR2</x:v>
      </x:c>
      <x:c r="D14" s="109" t="str">
        <x:v>W600</x:v>
      </x:c>
      <x:c r="E14" s="109" t="n">
        <x:v>3.88</x:v>
      </x:c>
      <x:c r="F14" s="109" t="n">
        <x:v>3.5</x:v>
      </x:c>
      <x:c r="G14" s="109" t="n">
        <x:v>2.38</x:v>
      </x:c>
      <x:c r="H14" s="109" t="n">
        <x:v>2</x:v>
      </x:c>
      <x:c r="I14" s="109" t="n">
        <x:v>90</x:v>
      </x:c>
    </x:row>
    <x:row r="15">
      <x:c r="A15" s="109" t="str">
        <x:v>u_trap</x:v>
      </x:c>
      <x:c r="B15" s="109" t="str">
        <x:v>local_minimum_and_recovery</x:v>
      </x:c>
      <x:c r="C15" s="109" t="str">
        <x:v>UB1</x:v>
      </x:c>
      <x:c r="D15" s="109" t="str">
        <x:v>W600</x:v>
      </x:c>
      <x:c r="E15" s="109" t="n">
        <x:v>2.85</x:v>
      </x:c>
      <x:c r="F15" s="109" t="n">
        <x:v>3.8</x:v>
      </x:c>
      <x:c r="G15" s="109" t="n">
        <x:v>1.35</x:v>
      </x:c>
      <x:c r="H15" s="109" t="n">
        <x:v>2.3</x:v>
      </x:c>
      <x:c r="I15" s="109" t="n">
        <x:v>0</x:v>
      </x:c>
    </x:row>
    <x:row r="16">
      <x:c r="A16" s="109" t="str">
        <x:v>u_trap</x:v>
      </x:c>
      <x:c r="B16" s="109" t="str">
        <x:v>local_minimum_and_recovery</x:v>
      </x:c>
      <x:c r="C16" s="109" t="str">
        <x:v>UB2</x:v>
      </x:c>
      <x:c r="D16" s="109" t="str">
        <x:v>W600</x:v>
      </x:c>
      <x:c r="E16" s="109" t="n">
        <x:v>3.45</x:v>
      </x:c>
      <x:c r="F16" s="109" t="n">
        <x:v>3.8</x:v>
      </x:c>
      <x:c r="G16" s="109" t="n">
        <x:v>1.95</x:v>
      </x:c>
      <x:c r="H16" s="109" t="n">
        <x:v>2.3</x:v>
      </x:c>
      <x:c r="I16" s="109" t="n">
        <x:v>0</x:v>
      </x:c>
    </x:row>
    <x:row r="17">
      <x:c r="A17" s="109" t="str">
        <x:v>u_trap</x:v>
      </x:c>
      <x:c r="B17" s="109" t="str">
        <x:v>local_minimum_and_recovery</x:v>
      </x:c>
      <x:c r="C17" s="109" t="str">
        <x:v>UB3</x:v>
      </x:c>
      <x:c r="D17" s="109" t="str">
        <x:v>W300</x:v>
      </x:c>
      <x:c r="E17" s="109" t="n">
        <x:v>3.9</x:v>
      </x:c>
      <x:c r="F17" s="109" t="n">
        <x:v>3.8</x:v>
      </x:c>
      <x:c r="G17" s="109" t="n">
        <x:v>2.4</x:v>
      </x:c>
      <x:c r="H17" s="109" t="n">
        <x:v>2.3</x:v>
      </x:c>
      <x:c r="I17" s="109" t="n">
        <x:v>0</x:v>
      </x:c>
    </x:row>
    <x:row r="18">
      <x:c r="A18" s="109" t="str">
        <x:v>lab_complex</x:v>
      </x:c>
      <x:c r="B18" s="109" t="str">
        <x:v>mixed_static_generalization</x:v>
      </x:c>
      <x:c r="C18" s="109" t="str">
        <x:v>A1</x:v>
      </x:c>
      <x:c r="D18" s="109" t="str">
        <x:v>W600</x:v>
      </x:c>
      <x:c r="E18" s="109" t="n">
        <x:v>2.15</x:v>
      </x:c>
      <x:c r="F18" s="109" t="n">
        <x:v>2.4</x:v>
      </x:c>
      <x:c r="G18" s="109" t="n">
        <x:v>0.65</x:v>
      </x:c>
      <x:c r="H18" s="109" t="n">
        <x:v>0.9</x:v>
      </x:c>
      <x:c r="I18" s="109" t="n">
        <x:v>15</x:v>
      </x:c>
    </x:row>
    <x:row r="19">
      <x:c r="A19" s="109" t="str">
        <x:v>lab_complex</x:v>
      </x:c>
      <x:c r="B19" s="109" t="str">
        <x:v>mixed_static_generalization</x:v>
      </x:c>
      <x:c r="C19" s="109" t="str">
        <x:v>A2</x:v>
      </x:c>
      <x:c r="D19" s="109" t="str">
        <x:v>W300</x:v>
      </x:c>
      <x:c r="E19" s="109" t="n">
        <x:v>2.58</x:v>
      </x:c>
      <x:c r="F19" s="109" t="n">
        <x:v>2.52</x:v>
      </x:c>
      <x:c r="G19" s="109" t="n">
        <x:v>1.08</x:v>
      </x:c>
      <x:c r="H19" s="109" t="n">
        <x:v>1.02</x:v>
      </x:c>
      <x:c r="I19" s="109" t="n">
        <x:v>15</x:v>
      </x:c>
    </x:row>
    <x:row r="20">
      <x:c r="A20" s="109" t="str">
        <x:v>lab_complex</x:v>
      </x:c>
      <x:c r="B20" s="109" t="str">
        <x:v>mixed_static_generalization</x:v>
      </x:c>
      <x:c r="C20" s="109" t="str">
        <x:v>A3</x:v>
      </x:c>
      <x:c r="D20" s="109" t="str">
        <x:v>W600</x:v>
      </x:c>
      <x:c r="E20" s="109" t="n">
        <x:v>3.25</x:v>
      </x:c>
      <x:c r="F20" s="109" t="n">
        <x:v>3.1</x:v>
      </x:c>
      <x:c r="G20" s="109" t="n">
        <x:v>1.75</x:v>
      </x:c>
      <x:c r="H20" s="109" t="n">
        <x:v>1.6</x:v>
      </x:c>
      <x:c r="I20" s="109" t="n">
        <x:v>0</x:v>
      </x:c>
    </x:row>
    <x:row r="21">
      <x:c r="A21" s="109" t="str">
        <x:v>lab_complex</x:v>
      </x:c>
      <x:c r="B21" s="109" t="str">
        <x:v>mixed_static_generalization</x:v>
      </x:c>
      <x:c r="C21" s="109" t="str">
        <x:v>A4</x:v>
      </x:c>
      <x:c r="D21" s="109" t="str">
        <x:v>W300</x:v>
      </x:c>
      <x:c r="E21" s="109" t="n">
        <x:v>3.7</x:v>
      </x:c>
      <x:c r="F21" s="109" t="n">
        <x:v>3.1</x:v>
      </x:c>
      <x:c r="G21" s="109" t="n">
        <x:v>2.2</x:v>
      </x:c>
      <x:c r="H21" s="109" t="n">
        <x:v>1.6</x:v>
      </x:c>
      <x:c r="I21" s="109" t="n">
        <x:v>0</x:v>
      </x:c>
    </x:row>
    <x:row r="22">
      <x:c r="A22" s="109" t="str">
        <x:v>lab_complex</x:v>
      </x:c>
      <x:c r="B22" s="109" t="str">
        <x:v>mixed_static_generalization</x:v>
      </x:c>
      <x:c r="C22" s="109" t="str">
        <x:v>A5</x:v>
      </x:c>
      <x:c r="D22" s="109" t="str">
        <x:v>W600</x:v>
      </x:c>
      <x:c r="E22" s="109" t="n">
        <x:v>2.95</x:v>
      </x:c>
      <x:c r="F22" s="109" t="n">
        <x:v>4.1</x:v>
      </x:c>
      <x:c r="G22" s="109" t="n">
        <x:v>1.45</x:v>
      </x:c>
      <x:c r="H22" s="109" t="n">
        <x:v>2.6</x:v>
      </x:c>
      <x:c r="I22" s="109" t="n">
        <x:v>90</x:v>
      </x:c>
    </x:row>
    <x:row r="23">
      <x:c r="A23" s="109" t="str">
        <x:v>lab_complex</x:v>
      </x:c>
      <x:c r="B23" s="109" t="str">
        <x:v>mixed_static_generalization</x:v>
      </x:c>
      <x:c r="C23" s="109" t="str">
        <x:v>C1</x:v>
      </x:c>
      <x:c r="D23" s="109" t="str">
        <x:v>C320</x:v>
      </x:c>
      <x:c r="E23" s="109" t="n">
        <x:v>4.15</x:v>
      </x:c>
      <x:c r="F23" s="109" t="n">
        <x:v>2.45</x:v>
      </x:c>
      <x:c r="G23" s="109" t="n">
        <x:v>2.65</x:v>
      </x:c>
      <x:c r="H23" s="109" t="n">
        <x:v>0.95</x:v>
      </x:c>
      <x:c r="I23" s="109" t="n">
        <x:v>0</x:v>
      </x:c>
    </x:row>
    <x:row r="24">
      <x:c r="A24" s="109" t="str">
        <x:v>lab_complex</x:v>
      </x:c>
      <x:c r="B24" s="109" t="str">
        <x:v>mixed_static_generalization</x:v>
      </x:c>
      <x:c r="C24" s="109" t="str">
        <x:v>C2</x:v>
      </x:c>
      <x:c r="D24" s="109" t="str">
        <x:v>C320</x:v>
      </x:c>
      <x:c r="E24" s="109" t="n">
        <x:v>4.15</x:v>
      </x:c>
      <x:c r="F24" s="109" t="n">
        <x:v>3.75</x:v>
      </x:c>
      <x:c r="G24" s="109" t="n">
        <x:v>2.65</x:v>
      </x:c>
      <x:c r="H24" s="109" t="n">
        <x:v>2.25</x:v>
      </x:c>
      <x:c r="I24" s="109" t="n">
        <x:v>0</x:v>
      </x:c>
    </x:row>
    <x:row r="25">
      <x:c r="A25" s="109" t="str">
        <x:v>lab_complex</x:v>
      </x:c>
      <x:c r="B25" s="109" t="str">
        <x:v>mixed_static_generalization</x:v>
      </x:c>
      <x:c r="C25" s="109" t="str">
        <x:v>C3</x:v>
      </x:c>
      <x:c r="D25" s="109" t="str">
        <x:v>C240</x:v>
      </x:c>
      <x:c r="E25" s="109" t="n">
        <x:v>2.05</x:v>
      </x:c>
      <x:c r="F25" s="109" t="n">
        <x:v>3.65</x:v>
      </x:c>
      <x:c r="G25" s="109" t="n">
        <x:v>0.55</x:v>
      </x:c>
      <x:c r="H25" s="109" t="n">
        <x:v>2.15</x:v>
      </x:c>
      <x:c r="I25" s="109" t="n">
        <x:v>0</x:v>
      </x:c>
    </x:row>
    <x:row r="26">
      <x:c r="A26" s="109" t="str">
        <x:v>lab_complex</x:v>
      </x:c>
      <x:c r="B26" s="109" t="str">
        <x:v>mixed_static_generalization</x:v>
      </x:c>
      <x:c r="C26" s="109" t="str">
        <x:v>C4</x:v>
      </x:c>
      <x:c r="D26" s="109" t="str">
        <x:v>C240</x:v>
      </x:c>
      <x:c r="E26" s="109" t="n">
        <x:v>4.75</x:v>
      </x:c>
      <x:c r="F26" s="109" t="n">
        <x:v>3.2</x:v>
      </x:c>
      <x:c r="G26" s="109" t="n">
        <x:v>3.25</x:v>
      </x:c>
      <x:c r="H26" s="109" t="n">
        <x:v>1.7</x:v>
      </x:c>
      <x:c r="I26" s="109" t="n">
        <x:v>0</x:v>
      </x:c>
    </x:row>
    <x:row r="27">
      <x:c r="A27" s="109" t="str">
        <x:v>dynamic_crossing</x:v>
      </x:c>
      <x:c r="B27" s="109" t="str">
        <x:v>optional_reactive_dynamic_obstacle</x:v>
      </x:c>
      <x:c r="C27" s="109" t="str">
        <x:v>G1</x:v>
      </x:c>
      <x:c r="D27" s="109" t="str">
        <x:v>C240</x:v>
      </x:c>
      <x:c r="E27" s="109" t="n">
        <x:v>2.1</x:v>
      </x:c>
      <x:c r="F27" s="109" t="n">
        <x:v>3.2</x:v>
      </x:c>
      <x:c r="G27" s="109" t="n">
        <x:v>0.6</x:v>
      </x:c>
      <x:c r="H27" s="109" t="n">
        <x:v>1.7</x:v>
      </x:c>
      <x:c r="I27" s="109" t="n">
        <x:v>0</x:v>
      </x:c>
    </x:row>
    <x:row r="28">
      <x:c r="A28" s="110" t="str">
        <x:v>dynamic_crossing</x:v>
      </x:c>
      <x:c r="B28" s="110" t="str">
        <x:v>optional_reactive_dynamic_obstacle</x:v>
      </x:c>
      <x:c r="C28" s="110" t="str">
        <x:v>G2</x:v>
      </x:c>
      <x:c r="D28" s="110" t="str">
        <x:v>C240</x:v>
      </x:c>
      <x:c r="E28" s="110" t="n">
        <x:v>4.5</x:v>
      </x:c>
      <x:c r="F28" s="110" t="n">
        <x:v>3.2</x:v>
      </x:c>
      <x:c r="G28" s="110" t="n">
        <x:v>3</x:v>
      </x:c>
      <x:c r="H28" s="110" t="n">
        <x:v>1.7</x:v>
      </x:c>
      <x:c r="I28" s="110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798e75d0e744f7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58" hidden="0" customWidth="1"/>
    <x:col min="3" max="3" width="12" hidden="0" customWidth="1"/>
    <x:col min="4" max="4" width="12" hidden="0" customWidth="1"/>
  </x:cols>
  <x:sheetData>
    <x:row r="1" ht="32" customHeight="1">
      <x:c r="A1" s="78" t="str">
        <x:v>6.5 m × 6.5 m 实车亚克力障碍套件 - 供应商摘要</x:v>
      </x:c>
      <x:c r="B1" s="78"/>
      <x:c r="C1" s="78"/>
      <x:c r="D1" s="78"/>
    </x:row>
    <x:row r="2">
      <x:c r="A2" s="79"/>
      <x:c r="B2" s="79"/>
      <x:c r="C2" s="79"/>
      <x:c r="D2" s="79"/>
    </x:row>
    <x:row r="3">
      <x:c r="A3" s="80" t="str">
        <x:v>设计版本</x:v>
      </x:c>
      <x:c r="B3" s="81" t="str">
        <x:v>2026-07-16 rev.3</x:v>
      </x:c>
      <x:c r="C3" s="79"/>
      <x:c r="D3" s="79"/>
    </x:row>
    <x:row r="4">
      <x:c r="A4" s="82" t="str">
        <x:v>静态障碍总高</x:v>
      </x:c>
      <x:c r="B4" s="83" t="str">
        <x:v>350 mm</x:v>
      </x:c>
      <x:c r="C4" s="79"/>
      <x:c r="D4" s="79"/>
    </x:row>
    <x:row r="5">
      <x:c r="A5" s="82" t="str">
        <x:v>墙板 / 底座</x:v>
      </x:c>
      <x:c r="B5" s="83" t="str">
        <x:v>6 mm 不透明哑光浇铸 PMMA</x:v>
      </x:c>
      <x:c r="C5" s="79"/>
      <x:c r="D5" s="79"/>
    </x:row>
    <x:row r="6">
      <x:c r="A6" s="82" t="str">
        <x:v>八边形侧板</x:v>
      </x:c>
      <x:c r="B6" s="83" t="str">
        <x:v>4 mm 不透明哑光浇铸 PMMA</x:v>
      </x:c>
      <x:c r="C6" s="79"/>
      <x:c r="D6" s="79"/>
    </x:row>
    <x:row r="7">
      <x:c r="A7" s="82" t="str">
        <x:v>墙体底座深度</x:v>
      </x:c>
      <x:c r="B7" s="83" t="str">
        <x:v>160 mm（保持原场景平面占地）</x:v>
      </x:c>
      <x:c r="C7" s="79"/>
      <x:c r="D7" s="79"/>
    </x:row>
    <x:row r="8">
      <x:c r="A8" s="82" t="str">
        <x:v>兼容雷达主光束高度</x:v>
      </x:c>
      <x:c r="B8" s="83" t="str">
        <x:v>100–250 mm；超出范围须调整障碍高度</x:v>
      </x:c>
      <x:c r="C8" s="79"/>
      <x:c r="D8" s="79"/>
    </x:row>
    <x:row r="9">
      <x:c r="A9" s="82" t="str">
        <x:v>外露边安全</x:v>
      </x:c>
      <x:c r="B9" s="83" t="str">
        <x:v>圆角倒钝 + 透明硅胶 U 形护边</x:v>
      </x:c>
      <x:c r="C9" s="79"/>
      <x:c r="D9" s="79"/>
    </x:row>
    <x:row r="10">
      <x:c r="A10" s="82" t="str">
        <x:v>首件</x:v>
      </x:c>
      <x:c r="B10" s="83" t="str">
        <x:v>W600 ×1 + C320 ×1，通过后再批量加工</x:v>
      </x:c>
      <x:c r="C10" s="79"/>
      <x:c r="D10" s="79"/>
    </x:row>
    <x:row r="11">
      <x:c r="A11" s="82" t="str">
        <x:v>状态</x:v>
      </x:c>
      <x:c r="B11" s="83" t="str">
        <x:v>加工草案；禁止未验收直接批量下单</x:v>
      </x:c>
      <x:c r="C11" s="79"/>
      <x:c r="D11" s="79"/>
    </x:row>
    <x:row r="12">
      <x:c r="A12" s="84"/>
      <x:c r="B12" s="83"/>
      <x:c r="C12" s="79"/>
      <x:c r="D12" s="79"/>
    </x:row>
    <x:row r="13">
      <x:c r="A13" s="85" t="str">
        <x:v>采购模块总数</x:v>
      </x:c>
      <x:c r="B13" s="86" t="n">
        <x:f>SUM('BOM'!$D$2:$D$8)</x:f>
        <x:v>28</x:v>
      </x:c>
      <x:c r="C13" s="79"/>
      <x:c r="D13" s="79"/>
    </x:row>
    <x:row r="14">
      <x:c r="A14" s="85" t="str">
        <x:v>静态障碍模块数</x:v>
      </x:c>
      <x:c r="B14" s="86" t="n">
        <x:f>SUM('BOM'!$D$2:$D$6)</x:f>
        <x:v>25</x:v>
      </x:c>
      <x:c r="C14" s="79"/>
      <x:c r="D14" s="79"/>
    </x:row>
    <x:row r="15">
      <x:c r="A15" s="87" t="str">
        <x:v>亚克力切割件总数</x:v>
      </x:c>
      <x:c r="B15" s="88" t="n">
        <x:f>SUM('Cut List'!$F$2:$F$22)</x:f>
        <x:v>236</x:v>
      </x:c>
      <x:c r="C15" s="79"/>
      <x:c r="D15" s="79"/>
    </x:row>
    <x:row r="16">
      <x:c r="A16" s="79"/>
      <x:c r="B16" s="79"/>
      <x:c r="C16" s="79"/>
      <x:c r="D16" s="79"/>
    </x:row>
    <x:row r="17" ht="38" customHeight="1">
      <x:c r="A17" s="64" t="str">
        <x:v>下单前必须实测：机器人最大外廓、LaserScan 光束高度、材料样片回波、急停距离、首件推力与倾倒稳定性。</x:v>
      </x:c>
      <x:c r="B17" s="64"/>
      <x:c r="C17" s="64"/>
      <x:c r="D17" s="64"/>
    </x:row>
    <x:row r="18">
      <x:c r="A18" s="79"/>
      <x:c r="B18" s="79"/>
      <x:c r="C18" s="79"/>
      <x:c r="D18" s="79"/>
    </x:row>
    <x:row r="19" ht="34" customHeight="1">
      <x:c r="A19" s="65" t="str">
        <x:v>坐标和数量来自同一份冻结配置；任何尺寸改动都应重新生成 PDF、BOM、切割清单和场景坐标。</x:v>
      </x:c>
      <x:c r="B19" s="65"/>
      <x:c r="C19" s="65"/>
      <x:c r="D19" s="65"/>
    </x:row>
  </x:sheetData>
  <x:mergeCells>
    <x:mergeCell ref="A1:D1"/>
    <x:mergeCell ref="A17:D17"/>
    <x:mergeCell ref="A19:D19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66" hidden="0" customWidth="1"/>
    <x:col min="3" max="3" width="14" hidden="0" customWidth="1"/>
    <x:col min="4" max="4" width="42" hidden="0" customWidth="1"/>
  </x:cols>
  <x:sheetData>
    <x:row r="1" ht="32" customHeight="1">
      <x:c r="A1" s="116" t="str">
        <x:v>首件验收记录（W600 ×1 + C320 ×1）</x:v>
      </x:c>
      <x:c r="B1" s="116"/>
      <x:c r="C1" s="116"/>
      <x:c r="D1" s="116"/>
    </x:row>
    <x:row r="3">
      <x:c r="A3" s="122" t="str">
        <x:v>项目</x:v>
      </x:c>
      <x:c r="B3" s="122" t="str">
        <x:v>验收准则</x:v>
      </x:c>
      <x:c r="C3" s="122" t="str">
        <x:v>状态</x:v>
      </x:c>
      <x:c r="D3" s="122" t="str">
        <x:v>实测记录 / 备注</x:v>
      </x:c>
    </x:row>
    <x:row r="4" ht="42" customHeight="1">
      <x:c r="A4" s="108" t="str">
        <x:v>外形尺寸</x:v>
      </x:c>
      <x:c r="B4" s="108" t="str">
        <x:v>关键尺寸 ±3 mm；W600 高 350 mm、底座深 160 mm</x:v>
      </x:c>
      <x:c r="C4" s="108" t="str">
        <x:v>Pending</x:v>
      </x:c>
      <x:c r="D4" s="108" t="str"/>
    </x:row>
    <x:row r="5" ht="42" customHeight="1">
      <x:c r="A5" s="109" t="str">
        <x:v>板厚与材料</x:v>
      </x:c>
      <x:c r="B5" s="109" t="str">
        <x:v>6 mm 墙板/底座；4 mm 八边形侧板；不透明哑光浇铸 PMMA</x:v>
      </x:c>
      <x:c r="C5" s="109" t="str">
        <x:v>Pending</x:v>
      </x:c>
      <x:c r="D5" s="109" t="str"/>
    </x:row>
    <x:row r="6" ht="42" customHeight="1">
      <x:c r="A6" s="109" t="str">
        <x:v>边缘安全</x:v>
      </x:c>
      <x:c r="B6" s="109" t="str">
        <x:v>上角 R≥20 mm，其余 R≥5 mm；倒钝且护边连续</x:v>
      </x:c>
      <x:c r="C6" s="109" t="str">
        <x:v>Pending</x:v>
      </x:c>
      <x:c r="D6" s="109" t="str"/>
    </x:row>
    <x:row r="7" ht="42" customHeight="1">
      <x:c r="A7" s="109" t="str">
        <x:v>粘接与加强肋</x:v>
      </x:c>
      <x:c r="B7" s="109" t="str">
        <x:v>A/B 接缝连续；加强肋前后成对；无白化、裂纹、贯穿气泡</x:v>
      </x:c>
      <x:c r="C7" s="109" t="str">
        <x:v>Pending</x:v>
      </x:c>
      <x:c r="D7" s="109" t="str"/>
    </x:row>
    <x:row r="8" ht="42" customHeight="1">
      <x:c r="A8" s="109" t="str">
        <x:v>防滑</x:v>
      </x:c>
      <x:c r="B8" s="109" t="str">
        <x:v>在实验地面施加约 10 N 水平推力，位移 ≤10 mm</x:v>
      </x:c>
      <x:c r="C8" s="109" t="str">
        <x:v>Pending</x:v>
      </x:c>
      <x:c r="D8" s="109" t="str"/>
    </x:row>
    <x:row r="9" ht="42" customHeight="1">
      <x:c r="A9" s="109" t="str">
        <x:v>倾倒稳定</x:v>
      </x:c>
      <x:c r="B9" s="109" t="str">
        <x:v>按现场最低安全推力/碰触工况测试，无非预期倾倒</x:v>
      </x:c>
      <x:c r="C9" s="109" t="str">
        <x:v>Pending</x:v>
      </x:c>
      <x:c r="D9" s="109" t="str"/>
    </x:row>
    <x:row r="10" ht="42" customHeight="1">
      <x:c r="A10" s="109" t="str">
        <x:v>LaserScan 回波</x:v>
      </x:c>
      <x:c r="B10" s="109" t="str">
        <x:v>0.2/0.5/1.0/2.0 m 均有稳定回波，无透明穿透假空区</x:v>
      </x:c>
      <x:c r="C10" s="109" t="str">
        <x:v>Pending</x:v>
      </x:c>
      <x:c r="D10" s="109" t="str"/>
    </x:row>
    <x:row r="11" ht="42" customHeight="1">
      <x:c r="A11" s="109" t="str">
        <x:v>连接件</x:v>
      </x:c>
      <x:c r="B11" s="109" t="str">
        <x:v>直连/90°/T 形接缝 ≤5 mm，且不扩大冻结平面占地</x:v>
      </x:c>
      <x:c r="C11" s="109" t="str">
        <x:v>Pending</x:v>
      </x:c>
      <x:c r="D11" s="109" t="str"/>
    </x:row>
    <x:row r="12" ht="42" customHeight="1">
      <x:c r="A12" s="110" t="str">
        <x:v>动态 D320（可选）</x:v>
      </x:c>
      <x:c r="B12" s="110" t="str">
        <x:v>仅在软边、快拆、独立急停通过后，以 0.10 m/s 起步</x:v>
      </x:c>
      <x:c r="C12" s="110" t="str">
        <x:v>N/A</x:v>
      </x:c>
      <x:c r="D12" s="110" t="str"/>
    </x:row>
  </x:sheetData>
  <x:mergeCells>
    <x:mergeCell ref="A1:D1"/>
  </x:mergeCells>
  <x:dataValidations count="1">
    <x:dataValidation type="list" sqref="C4:C12">
      <x:formula1>"Pending,Pass,Fail,N/A"</x:formula1>
    </x:dataValidation>
  </x:dataValidations>
  <x:pageMargins left="0.7" right="0.7" top="0.75" bottom="0.75" header="0.3" footer="0.3"/>
</x:worksheet>
</file>